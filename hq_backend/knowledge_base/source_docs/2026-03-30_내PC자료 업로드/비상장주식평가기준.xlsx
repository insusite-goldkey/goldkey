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44\AC\Temp\"/>
    </mc:Choice>
  </mc:AlternateContent>
  <xr:revisionPtr revIDLastSave="0" documentId="8_{4D8F2654-9E6E-064C-9E8D-2AC43EDBC11C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주식평가" sheetId="5" r:id="rId1"/>
  </sheets>
  <definedNames>
    <definedName name="_xlnm.Print_Area" localSheetId="0">주식평가!$A$1:$I$36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5" l="1"/>
  <c r="H16" i="5"/>
  <c r="H18" i="5"/>
  <c r="F16" i="5"/>
  <c r="D26" i="5"/>
  <c r="H26" i="5"/>
  <c r="D27" i="5"/>
  <c r="H27" i="5"/>
  <c r="D28" i="5"/>
  <c r="H28" i="5"/>
  <c r="B26" i="5"/>
  <c r="B27" i="5"/>
  <c r="B28" i="5"/>
  <c r="H29" i="5"/>
  <c r="H31" i="5"/>
  <c r="D31" i="5"/>
  <c r="H32" i="5"/>
  <c r="H17" i="5"/>
  <c r="H20" i="5"/>
  <c r="H21" i="5"/>
  <c r="H34" i="5"/>
  <c r="B38" i="5"/>
  <c r="F3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Robin</author>
  </authors>
  <commentList>
    <comment ref="D5" authorId="0" shapeId="0" xr:uid="{00000000-0006-0000-0000-000001000000}">
      <text>
        <r>
          <rPr>
            <sz val="9"/>
            <color indexed="81"/>
            <rFont val="돋움"/>
            <family val="3"/>
            <charset val="129"/>
          </rPr>
          <t>재무상태표의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자본총계를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입력하세요</t>
        </r>
        <r>
          <rPr>
            <sz val="9"/>
            <color indexed="81"/>
            <rFont val="Tahoma"/>
            <family val="2"/>
          </rPr>
          <t>.</t>
        </r>
      </text>
    </comment>
    <comment ref="B7" authorId="0" shapeId="0" xr:uid="{00000000-0006-0000-0000-000002000000}">
      <text>
        <r>
          <rPr>
            <sz val="9"/>
            <color indexed="81"/>
            <rFont val="돋움"/>
            <family val="3"/>
            <charset val="129"/>
          </rPr>
          <t>평가일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년간의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손익계산서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
</t>
        </r>
        <r>
          <rPr>
            <sz val="9"/>
            <color indexed="81"/>
            <rFont val="돋움"/>
            <family val="3"/>
            <charset val="129"/>
          </rPr>
          <t>당기순이익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총액을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입력하세요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<sst xmlns="http://schemas.openxmlformats.org/spreadsheetml/2006/main" count="41" uniqueCount="37">
  <si>
    <t>비상장주식 평가</t>
    <phoneticPr fontId="2" type="noConversion"/>
  </si>
  <si>
    <t>이용법</t>
    <phoneticPr fontId="2" type="noConversion"/>
  </si>
  <si>
    <t>(1) 재무현황</t>
    <phoneticPr fontId="2" type="noConversion"/>
  </si>
  <si>
    <t xml:space="preserve">노란색 부분에 </t>
    <phoneticPr fontId="2" type="noConversion"/>
  </si>
  <si>
    <t>-</t>
    <phoneticPr fontId="2" type="noConversion"/>
  </si>
  <si>
    <t>자 본 총 계</t>
    <phoneticPr fontId="2" type="noConversion"/>
  </si>
  <si>
    <t>재무제표의</t>
    <phoneticPr fontId="2" type="noConversion"/>
  </si>
  <si>
    <t>해당 항목을 입력하세요.</t>
    <phoneticPr fontId="2" type="noConversion"/>
  </si>
  <si>
    <t>당기순이익</t>
    <phoneticPr fontId="2" type="noConversion"/>
  </si>
  <si>
    <t>1년 전</t>
    <phoneticPr fontId="2" type="noConversion"/>
  </si>
  <si>
    <t>2년 전</t>
    <phoneticPr fontId="2" type="noConversion"/>
  </si>
  <si>
    <t>3년 전</t>
    <phoneticPr fontId="2" type="noConversion"/>
  </si>
  <si>
    <t>주   식   수</t>
    <phoneticPr fontId="2" type="noConversion"/>
  </si>
  <si>
    <t>(2) 상증법상 평가내역</t>
    <phoneticPr fontId="2" type="noConversion"/>
  </si>
  <si>
    <t>1) 자산가치</t>
    <phoneticPr fontId="2" type="noConversion"/>
  </si>
  <si>
    <t xml:space="preserve">    - 순자산가치</t>
    <phoneticPr fontId="2" type="noConversion"/>
  </si>
  <si>
    <t>/</t>
    <phoneticPr fontId="2" type="noConversion"/>
  </si>
  <si>
    <t>=</t>
    <phoneticPr fontId="2" type="noConversion"/>
  </si>
  <si>
    <t xml:space="preserve">    - 영업권</t>
    <phoneticPr fontId="2" type="noConversion"/>
  </si>
  <si>
    <t>① 3년간 가중평균순이익의 50%(주당)</t>
    <phoneticPr fontId="2" type="noConversion"/>
  </si>
  <si>
    <t>② 자기자본X10%(주당)</t>
    <phoneticPr fontId="2" type="noConversion"/>
  </si>
  <si>
    <t>③ 5년간 연금현가계수</t>
    <phoneticPr fontId="2" type="noConversion"/>
  </si>
  <si>
    <t>④ 영업권[(①-②)X③]</t>
    <phoneticPr fontId="2" type="noConversion"/>
  </si>
  <si>
    <t xml:space="preserve">    - 영업권 고려 후 주당자산가치</t>
    <phoneticPr fontId="2" type="noConversion"/>
  </si>
  <si>
    <t>2) 수익가치</t>
    <phoneticPr fontId="2" type="noConversion"/>
  </si>
  <si>
    <t>연  도</t>
    <phoneticPr fontId="2" type="noConversion"/>
  </si>
  <si>
    <t xml:space="preserve">    주당순이익</t>
    <phoneticPr fontId="2" type="noConversion"/>
  </si>
  <si>
    <t>가중치</t>
    <phoneticPr fontId="2" type="noConversion"/>
  </si>
  <si>
    <t>가중액</t>
    <phoneticPr fontId="2" type="noConversion"/>
  </si>
  <si>
    <t>계</t>
    <phoneticPr fontId="2" type="noConversion"/>
  </si>
  <si>
    <t xml:space="preserve">   주당순손익액</t>
    <phoneticPr fontId="2" type="noConversion"/>
  </si>
  <si>
    <t>/     6</t>
    <phoneticPr fontId="2" type="noConversion"/>
  </si>
  <si>
    <t xml:space="preserve">   1주당 순손익가치      (환원율:</t>
    <phoneticPr fontId="2" type="noConversion"/>
  </si>
  <si>
    <t>)</t>
    <phoneticPr fontId="2" type="noConversion"/>
  </si>
  <si>
    <t>: (자산가치X2 + 수익가치X3) / 5</t>
    <phoneticPr fontId="2" type="noConversion"/>
  </si>
  <si>
    <t xml:space="preserve">이 파일은 재무제표를 이용한 약식평가를 위한 것으로 세무자료를 이용한 정확한 평가가 아닙니다. 또한 3년간 계속 영업을 가정한 것으로 복잡한 구조의 회사 평가에는 적용할 수 없습니다. 또한 계산결과에 대한 법률적 책임은 지지 않으니 학습용으로만 활용하세요.
</t>
    <phoneticPr fontId="2" type="noConversion"/>
  </si>
  <si>
    <t>3) 주당 주식가치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</si>
</sst>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&quot;주&quot;"/>
    <numFmt numFmtId="177" formatCode="#,##0.0000"/>
  </numFmts>
  <fonts count="9" x14ac:knownFonts="1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u/>
      <sz val="18"/>
      <name val="HY견고딕"/>
      <family val="1"/>
      <charset val="129"/>
    </font>
    <font>
      <sz val="11"/>
      <name val="HY견고딕"/>
      <family val="1"/>
      <charset val="129"/>
    </font>
    <font>
      <b/>
      <sz val="11"/>
      <name val="HY견고딕"/>
      <family val="1"/>
      <charset val="129"/>
    </font>
    <font>
      <b/>
      <sz val="10"/>
      <name val="HY견고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</cellStyleXfs>
  <cellXfs count="27">
    <xf numFmtId="0" fontId="0" fillId="0" borderId="0" xfId="0">
      <alignment vertical="center"/>
    </xf>
    <xf numFmtId="3" fontId="6" fillId="2" borderId="0" xfId="2" applyNumberFormat="1" applyFont="1" applyFill="1" applyAlignment="1" applyProtection="1">
      <alignment vertical="center"/>
      <protection locked="0"/>
    </xf>
    <xf numFmtId="3" fontId="6" fillId="0" borderId="0" xfId="2" applyNumberFormat="1" applyFont="1" applyAlignment="1" applyProtection="1">
      <alignment vertical="center"/>
    </xf>
    <xf numFmtId="3" fontId="6" fillId="0" borderId="1" xfId="2" applyNumberFormat="1" applyFont="1" applyBorder="1" applyAlignment="1" applyProtection="1">
      <alignment horizontal="center" vertical="center"/>
    </xf>
    <xf numFmtId="3" fontId="7" fillId="0" borderId="0" xfId="2" applyNumberFormat="1" applyFont="1" applyAlignment="1" applyProtection="1">
      <alignment vertical="center"/>
    </xf>
    <xf numFmtId="3" fontId="6" fillId="0" borderId="0" xfId="2" applyNumberFormat="1" applyFont="1" applyAlignment="1" applyProtection="1">
      <alignment horizontal="center" vertical="center"/>
    </xf>
    <xf numFmtId="3" fontId="6" fillId="0" borderId="0" xfId="2" quotePrefix="1" applyNumberFormat="1" applyFont="1" applyAlignment="1" applyProtection="1">
      <alignment horizontal="center" vertical="center"/>
    </xf>
    <xf numFmtId="3" fontId="6" fillId="0" borderId="0" xfId="2" applyNumberFormat="1" applyFont="1" applyFill="1" applyAlignment="1" applyProtection="1">
      <alignment vertical="center"/>
    </xf>
    <xf numFmtId="176" fontId="6" fillId="0" borderId="0" xfId="2" applyNumberFormat="1" applyFont="1" applyAlignment="1" applyProtection="1">
      <alignment horizontal="center" vertical="center"/>
    </xf>
    <xf numFmtId="3" fontId="6" fillId="0" borderId="0" xfId="2" quotePrefix="1" applyNumberFormat="1" applyFont="1" applyAlignment="1" applyProtection="1">
      <alignment vertical="center"/>
    </xf>
    <xf numFmtId="3" fontId="6" fillId="0" borderId="2" xfId="2" applyNumberFormat="1" applyFont="1" applyBorder="1" applyAlignment="1" applyProtection="1">
      <alignment vertical="center"/>
    </xf>
    <xf numFmtId="3" fontId="6" fillId="0" borderId="0" xfId="2" applyNumberFormat="1" applyFont="1" applyBorder="1" applyAlignment="1" applyProtection="1">
      <alignment vertical="center"/>
    </xf>
    <xf numFmtId="177" fontId="6" fillId="0" borderId="0" xfId="2" applyNumberFormat="1" applyFont="1" applyBorder="1" applyAlignment="1" applyProtection="1">
      <alignment horizontal="center" vertical="center"/>
    </xf>
    <xf numFmtId="3" fontId="6" fillId="0" borderId="3" xfId="2" applyNumberFormat="1" applyFont="1" applyBorder="1" applyAlignment="1" applyProtection="1">
      <alignment horizontal="right" vertical="center"/>
    </xf>
    <xf numFmtId="3" fontId="6" fillId="0" borderId="4" xfId="2" applyNumberFormat="1" applyFont="1" applyBorder="1" applyAlignment="1" applyProtection="1">
      <alignment vertical="center"/>
    </xf>
    <xf numFmtId="3" fontId="6" fillId="0" borderId="0" xfId="2" applyNumberFormat="1" applyFont="1" applyAlignment="1" applyProtection="1">
      <alignment horizontal="right" vertical="center"/>
    </xf>
    <xf numFmtId="3" fontId="6" fillId="0" borderId="5" xfId="2" applyNumberFormat="1" applyFont="1" applyBorder="1" applyAlignment="1" applyProtection="1">
      <alignment vertical="center"/>
    </xf>
    <xf numFmtId="3" fontId="6" fillId="0" borderId="0" xfId="2" applyNumberFormat="1" applyFont="1" applyAlignment="1" applyProtection="1">
      <alignment horizontal="left" vertical="center"/>
    </xf>
    <xf numFmtId="3" fontId="6" fillId="0" borderId="3" xfId="2" applyNumberFormat="1" applyFont="1" applyBorder="1" applyAlignment="1" applyProtection="1">
      <alignment vertical="center"/>
    </xf>
    <xf numFmtId="9" fontId="6" fillId="0" borderId="0" xfId="1" applyFont="1" applyAlignment="1" applyProtection="1">
      <alignment horizontal="center" vertical="center"/>
    </xf>
    <xf numFmtId="3" fontId="7" fillId="0" borderId="4" xfId="2" applyNumberFormat="1" applyFont="1" applyBorder="1" applyAlignment="1" applyProtection="1">
      <alignment vertical="center"/>
    </xf>
    <xf numFmtId="3" fontId="6" fillId="0" borderId="0" xfId="2" applyNumberFormat="1" applyFont="1" applyFill="1" applyAlignment="1" applyProtection="1">
      <alignment vertical="center"/>
      <protection locked="0"/>
    </xf>
    <xf numFmtId="3" fontId="6" fillId="0" borderId="0" xfId="2" applyNumberFormat="1" applyFont="1" applyAlignment="1" applyProtection="1">
      <alignment vertical="center"/>
      <protection locked="0"/>
    </xf>
    <xf numFmtId="3" fontId="8" fillId="0" borderId="0" xfId="2" applyNumberFormat="1" applyFont="1" applyAlignment="1" applyProtection="1">
      <alignment vertical="center"/>
    </xf>
    <xf numFmtId="9" fontId="6" fillId="0" borderId="0" xfId="1" applyFont="1" applyAlignment="1" applyProtection="1">
      <alignment vertical="center"/>
    </xf>
    <xf numFmtId="3" fontId="5" fillId="0" borderId="0" xfId="2" applyNumberFormat="1" applyFont="1" applyBorder="1" applyAlignment="1" applyProtection="1">
      <alignment horizontal="center" vertical="center"/>
    </xf>
    <xf numFmtId="3" fontId="6" fillId="0" borderId="0" xfId="2" applyNumberFormat="1" applyFont="1" applyAlignment="1" applyProtection="1">
      <alignment horizontal="left" vertical="justify" wrapText="1"/>
    </xf>
  </cellXfs>
  <cellStyles count="3">
    <cellStyle name="백분율" xfId="1" builtinId="5"/>
    <cellStyle name="표준" xfId="0" builtinId="0"/>
    <cellStyle name="표준_주당평가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60325</xdr:colOff>
      <xdr:row>3</xdr:row>
      <xdr:rowOff>38100</xdr:rowOff>
    </xdr:from>
    <xdr:to>
      <xdr:col>8</xdr:col>
      <xdr:colOff>111125</xdr:colOff>
      <xdr:row>11</xdr:row>
      <xdr:rowOff>79388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DFD357D-21A5-47EC-BACC-B5B15458174B}"/>
            </a:ext>
          </a:extLst>
        </xdr:cNvPr>
        <xdr:cNvSpPr/>
      </xdr:nvSpPr>
      <xdr:spPr>
        <a:xfrm>
          <a:off x="57150" y="874183"/>
          <a:ext cx="6026150" cy="1635125"/>
        </a:xfrm>
        <a:prstGeom prst="rect">
          <a:avLst/>
        </a:prstGeom>
        <a:noFill/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0</xdr:col>
      <xdr:colOff>60325</xdr:colOff>
      <xdr:row>13</xdr:row>
      <xdr:rowOff>47625</xdr:rowOff>
    </xdr:from>
    <xdr:to>
      <xdr:col>8</xdr:col>
      <xdr:colOff>111125</xdr:colOff>
      <xdr:row>21</xdr:row>
      <xdr:rowOff>79375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DF183B3-D03C-49A0-9B96-E9D565E08C17}"/>
            </a:ext>
          </a:extLst>
        </xdr:cNvPr>
        <xdr:cNvSpPr/>
      </xdr:nvSpPr>
      <xdr:spPr>
        <a:xfrm>
          <a:off x="57150" y="2790825"/>
          <a:ext cx="5781675" cy="1666875"/>
        </a:xfrm>
        <a:prstGeom prst="rect">
          <a:avLst/>
        </a:prstGeom>
        <a:noFill/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0</xdr:col>
      <xdr:colOff>60325</xdr:colOff>
      <xdr:row>22</xdr:row>
      <xdr:rowOff>57150</xdr:rowOff>
    </xdr:from>
    <xdr:to>
      <xdr:col>8</xdr:col>
      <xdr:colOff>111125</xdr:colOff>
      <xdr:row>32</xdr:row>
      <xdr:rowOff>60336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957D1CF-D336-45BC-AD8B-83E3A8CFECC8}"/>
            </a:ext>
          </a:extLst>
        </xdr:cNvPr>
        <xdr:cNvSpPr/>
      </xdr:nvSpPr>
      <xdr:spPr>
        <a:xfrm>
          <a:off x="57150" y="4552950"/>
          <a:ext cx="5781675" cy="2028826"/>
        </a:xfrm>
        <a:prstGeom prst="rect">
          <a:avLst/>
        </a:prstGeom>
        <a:noFill/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0</xdr:col>
      <xdr:colOff>60325</xdr:colOff>
      <xdr:row>32</xdr:row>
      <xdr:rowOff>117476</xdr:rowOff>
    </xdr:from>
    <xdr:to>
      <xdr:col>8</xdr:col>
      <xdr:colOff>111125</xdr:colOff>
      <xdr:row>34</xdr:row>
      <xdr:rowOff>47626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9123EE00-2A85-4F3E-93D8-A20738906F53}"/>
            </a:ext>
          </a:extLst>
        </xdr:cNvPr>
        <xdr:cNvSpPr/>
      </xdr:nvSpPr>
      <xdr:spPr>
        <a:xfrm>
          <a:off x="57150" y="6591301"/>
          <a:ext cx="5781675" cy="971550"/>
        </a:xfrm>
        <a:prstGeom prst="rect">
          <a:avLst/>
        </a:prstGeom>
        <a:noFill/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4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showGridLines="0" tabSelected="1" topLeftCell="B8" zoomScale="130" zoomScaleNormal="130" workbookViewId="0">
      <selection activeCell="M13" sqref="M13"/>
    </sheetView>
  </sheetViews>
  <sheetFormatPr defaultColWidth="9.0234375" defaultRowHeight="13.5" outlineLevelRow="1" x14ac:dyDescent="0.1"/>
  <cols>
    <col min="1" max="1" width="4.74609375" style="2" customWidth="1"/>
    <col min="2" max="2" width="15.078125" style="2" customWidth="1"/>
    <col min="3" max="3" width="4.51171875" style="2" customWidth="1"/>
    <col min="4" max="4" width="17.33203125" style="2" customWidth="1"/>
    <col min="5" max="5" width="5.578125" style="2" customWidth="1"/>
    <col min="6" max="6" width="14.24609375" style="2" customWidth="1"/>
    <col min="7" max="7" width="4.2734375" style="2" customWidth="1"/>
    <col min="8" max="8" width="13.7734375" style="2" customWidth="1"/>
    <col min="9" max="9" width="2.13671875" style="2" customWidth="1"/>
    <col min="10" max="10" width="3.203125" style="2" customWidth="1"/>
    <col min="11" max="11" width="15.1953125" style="2" customWidth="1"/>
    <col min="12" max="16384" width="9.0234375" style="2"/>
  </cols>
  <sheetData>
    <row r="1" spans="1:11" ht="36.75" customHeight="1" x14ac:dyDescent="0.1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11" ht="12" customHeight="1" x14ac:dyDescent="0.1">
      <c r="K2" s="3" t="s">
        <v>1</v>
      </c>
    </row>
    <row r="3" spans="1:11" ht="17.25" customHeight="1" x14ac:dyDescent="0.1">
      <c r="A3" s="4" t="s">
        <v>2</v>
      </c>
    </row>
    <row r="4" spans="1:11" ht="9.75" customHeight="1" x14ac:dyDescent="0.1">
      <c r="K4" s="5" t="s">
        <v>3</v>
      </c>
    </row>
    <row r="5" spans="1:11" ht="17.25" customHeight="1" x14ac:dyDescent="0.1">
      <c r="A5" s="6" t="s">
        <v>4</v>
      </c>
      <c r="B5" s="2" t="s">
        <v>5</v>
      </c>
      <c r="D5" s="1">
        <v>12864460902</v>
      </c>
      <c r="K5" s="5" t="s">
        <v>6</v>
      </c>
    </row>
    <row r="6" spans="1:11" ht="9.75" customHeight="1" x14ac:dyDescent="0.1">
      <c r="A6" s="6"/>
      <c r="D6" s="21"/>
      <c r="K6" s="5" t="s">
        <v>7</v>
      </c>
    </row>
    <row r="7" spans="1:11" ht="17.25" customHeight="1" x14ac:dyDescent="0.1">
      <c r="A7" s="6" t="s">
        <v>4</v>
      </c>
      <c r="B7" s="2" t="s">
        <v>8</v>
      </c>
      <c r="D7" s="22"/>
    </row>
    <row r="8" spans="1:11" ht="17.25" customHeight="1" x14ac:dyDescent="0.1">
      <c r="A8" s="6"/>
      <c r="B8" s="5" t="s">
        <v>9</v>
      </c>
      <c r="D8" s="1">
        <v>688182031</v>
      </c>
      <c r="F8" s="7"/>
      <c r="G8" s="7"/>
      <c r="H8" s="7"/>
    </row>
    <row r="9" spans="1:11" ht="17.25" customHeight="1" x14ac:dyDescent="0.1">
      <c r="A9" s="6"/>
      <c r="B9" s="5" t="s">
        <v>10</v>
      </c>
      <c r="D9" s="1">
        <v>451811737</v>
      </c>
      <c r="F9" s="7"/>
      <c r="G9" s="7"/>
      <c r="H9" s="7"/>
    </row>
    <row r="10" spans="1:11" ht="17.25" customHeight="1" x14ac:dyDescent="0.1">
      <c r="A10" s="6"/>
      <c r="B10" s="5" t="s">
        <v>11</v>
      </c>
      <c r="D10" s="1">
        <v>553750281</v>
      </c>
    </row>
    <row r="11" spans="1:11" ht="17.25" customHeight="1" x14ac:dyDescent="0.1">
      <c r="A11" s="6" t="s">
        <v>4</v>
      </c>
      <c r="B11" s="2" t="s">
        <v>12</v>
      </c>
      <c r="D11" s="1">
        <v>10000</v>
      </c>
    </row>
    <row r="12" spans="1:11" ht="18.75" customHeight="1" x14ac:dyDescent="0.1"/>
    <row r="13" spans="1:11" ht="17.25" customHeight="1" x14ac:dyDescent="0.1">
      <c r="A13" s="4" t="s">
        <v>13</v>
      </c>
    </row>
    <row r="14" spans="1:11" ht="7.5" customHeight="1" x14ac:dyDescent="0.1"/>
    <row r="15" spans="1:11" ht="17.25" customHeight="1" x14ac:dyDescent="0.1">
      <c r="B15" s="2" t="s">
        <v>14</v>
      </c>
    </row>
    <row r="16" spans="1:11" ht="17.25" customHeight="1" x14ac:dyDescent="0.1">
      <c r="B16" s="2" t="s">
        <v>15</v>
      </c>
      <c r="D16" s="2">
        <f>D5</f>
        <v>12864460902</v>
      </c>
      <c r="E16" s="6" t="s">
        <v>16</v>
      </c>
      <c r="F16" s="8">
        <f>D11</f>
        <v>10000</v>
      </c>
      <c r="G16" s="9" t="s">
        <v>17</v>
      </c>
      <c r="H16" s="10">
        <f>D16/F16</f>
        <v>1286446.0902</v>
      </c>
    </row>
    <row r="17" spans="2:8" ht="17.25" customHeight="1" x14ac:dyDescent="0.1">
      <c r="B17" s="2" t="s">
        <v>18</v>
      </c>
      <c r="D17" s="2" t="s">
        <v>19</v>
      </c>
      <c r="E17" s="6"/>
      <c r="F17" s="8"/>
      <c r="G17" s="9"/>
      <c r="H17" s="11">
        <f>H31*50%</f>
        <v>29349.5</v>
      </c>
    </row>
    <row r="18" spans="2:8" ht="17.25" customHeight="1" x14ac:dyDescent="0.1">
      <c r="D18" s="2" t="s">
        <v>20</v>
      </c>
      <c r="E18" s="6"/>
      <c r="F18" s="8"/>
      <c r="G18" s="9"/>
      <c r="H18" s="11">
        <f>D5*10%/D11</f>
        <v>128644.60902</v>
      </c>
    </row>
    <row r="19" spans="2:8" ht="17.25" customHeight="1" x14ac:dyDescent="0.1">
      <c r="D19" s="2" t="s">
        <v>21</v>
      </c>
      <c r="E19" s="6"/>
      <c r="F19" s="8"/>
      <c r="G19" s="9"/>
      <c r="H19" s="12">
        <v>3.7907999999999999</v>
      </c>
    </row>
    <row r="20" spans="2:8" ht="17.25" customHeight="1" thickBot="1" x14ac:dyDescent="0.15">
      <c r="D20" s="2" t="s">
        <v>22</v>
      </c>
      <c r="E20" s="6"/>
      <c r="F20" s="8"/>
      <c r="G20" s="9"/>
      <c r="H20" s="13">
        <f>MAX(ROUND((H17-H18)*H19,0),0)</f>
        <v>0</v>
      </c>
    </row>
    <row r="21" spans="2:8" ht="17.25" customHeight="1" thickBot="1" x14ac:dyDescent="0.15">
      <c r="B21" s="2" t="s">
        <v>23</v>
      </c>
      <c r="E21" s="6"/>
      <c r="F21" s="8"/>
      <c r="G21" s="9"/>
      <c r="H21" s="14">
        <f>H16+H20</f>
        <v>1286446.0902</v>
      </c>
    </row>
    <row r="22" spans="2:8" ht="9.75" customHeight="1" x14ac:dyDescent="0.1">
      <c r="E22" s="6"/>
      <c r="F22" s="5"/>
      <c r="G22" s="9"/>
    </row>
    <row r="23" spans="2:8" ht="6" customHeight="1" x14ac:dyDescent="0.1">
      <c r="E23" s="6"/>
      <c r="F23" s="5"/>
      <c r="G23" s="9"/>
    </row>
    <row r="24" spans="2:8" ht="17.25" customHeight="1" x14ac:dyDescent="0.1">
      <c r="B24" s="2" t="s">
        <v>24</v>
      </c>
    </row>
    <row r="25" spans="2:8" ht="17.25" customHeight="1" x14ac:dyDescent="0.1">
      <c r="B25" s="3" t="s">
        <v>25</v>
      </c>
      <c r="D25" s="3" t="s">
        <v>26</v>
      </c>
      <c r="F25" s="3" t="s">
        <v>27</v>
      </c>
      <c r="H25" s="3" t="s">
        <v>28</v>
      </c>
    </row>
    <row r="26" spans="2:8" ht="17.25" customHeight="1" x14ac:dyDescent="0.1">
      <c r="B26" s="5" t="str">
        <f>B8</f>
        <v>1년 전</v>
      </c>
      <c r="D26" s="15">
        <f>ROUND(D8/D$11,0)</f>
        <v>68818</v>
      </c>
      <c r="E26" s="15"/>
      <c r="F26" s="5">
        <v>3</v>
      </c>
      <c r="H26" s="2">
        <f>D26*F26</f>
        <v>206454</v>
      </c>
    </row>
    <row r="27" spans="2:8" ht="17.25" customHeight="1" x14ac:dyDescent="0.1">
      <c r="B27" s="5" t="str">
        <f>B9</f>
        <v>2년 전</v>
      </c>
      <c r="D27" s="15">
        <f>ROUND(D9/D$11,0)</f>
        <v>45181</v>
      </c>
      <c r="E27" s="15"/>
      <c r="F27" s="5">
        <v>2</v>
      </c>
      <c r="H27" s="2">
        <f>D27*F27</f>
        <v>90362</v>
      </c>
    </row>
    <row r="28" spans="2:8" ht="17.25" customHeight="1" x14ac:dyDescent="0.1">
      <c r="B28" s="5" t="str">
        <f>B10</f>
        <v>3년 전</v>
      </c>
      <c r="D28" s="15">
        <f>ROUND(D10/D$11,0)</f>
        <v>55375</v>
      </c>
      <c r="E28" s="15"/>
      <c r="F28" s="5">
        <v>1</v>
      </c>
      <c r="H28" s="2">
        <f>D28*F28</f>
        <v>55375</v>
      </c>
    </row>
    <row r="29" spans="2:8" ht="17.25" customHeight="1" thickBot="1" x14ac:dyDescent="0.15">
      <c r="B29" s="5" t="s">
        <v>29</v>
      </c>
      <c r="H29" s="16">
        <f>SUM(H26:H28)</f>
        <v>352191</v>
      </c>
    </row>
    <row r="30" spans="2:8" ht="10.5" customHeight="1" thickTop="1" x14ac:dyDescent="0.1">
      <c r="B30" s="5"/>
      <c r="H30" s="11"/>
    </row>
    <row r="31" spans="2:8" ht="17.25" customHeight="1" thickBot="1" x14ac:dyDescent="0.15">
      <c r="B31" s="17" t="s">
        <v>30</v>
      </c>
      <c r="D31" s="5">
        <f>+H29</f>
        <v>352191</v>
      </c>
      <c r="E31" s="6" t="s">
        <v>31</v>
      </c>
      <c r="G31" s="6" t="s">
        <v>17</v>
      </c>
      <c r="H31" s="18">
        <f>MAX(ROUND(H29/6,0),0)</f>
        <v>58699</v>
      </c>
    </row>
    <row r="32" spans="2:8" ht="18" customHeight="1" thickBot="1" x14ac:dyDescent="0.15">
      <c r="B32" s="17" t="s">
        <v>32</v>
      </c>
      <c r="E32" s="19">
        <v>0.1</v>
      </c>
      <c r="F32" s="2" t="s">
        <v>33</v>
      </c>
      <c r="H32" s="14">
        <f>H31/E32</f>
        <v>586990</v>
      </c>
    </row>
    <row r="33" spans="1:8" ht="15.75" customHeight="1" thickBot="1" x14ac:dyDescent="0.15">
      <c r="B33" s="5"/>
      <c r="H33" s="11"/>
    </row>
    <row r="34" spans="1:8" ht="18.75" customHeight="1" thickBot="1" x14ac:dyDescent="0.15">
      <c r="B34" s="23" t="s">
        <v>36</v>
      </c>
      <c r="C34" s="2" t="s">
        <v>34</v>
      </c>
      <c r="G34" s="6" t="s">
        <v>17</v>
      </c>
      <c r="H34" s="20">
        <f>MAX((H21*2+H32*3)/5,F38)</f>
        <v>1029156.87216</v>
      </c>
    </row>
    <row r="36" spans="1:8" ht="48.75" customHeight="1" x14ac:dyDescent="0.1">
      <c r="A36" s="26" t="s">
        <v>35</v>
      </c>
      <c r="B36" s="26"/>
      <c r="C36" s="26"/>
      <c r="D36" s="26"/>
      <c r="E36" s="26"/>
      <c r="F36" s="26"/>
      <c r="G36" s="26"/>
      <c r="H36" s="26"/>
    </row>
    <row r="38" spans="1:8" ht="27.75" hidden="1" customHeight="1" outlineLevel="1" x14ac:dyDescent="0.1">
      <c r="B38" s="2">
        <f>+H21</f>
        <v>1286446.0902</v>
      </c>
      <c r="D38" s="24">
        <v>0.8</v>
      </c>
      <c r="F38" s="2">
        <f>+B38*D38</f>
        <v>1029156.87216</v>
      </c>
    </row>
    <row r="39" spans="1:8" collapsed="1" x14ac:dyDescent="0.1"/>
  </sheetData>
  <sheetProtection password="CC4B" sheet="1"/>
  <mergeCells count="2">
    <mergeCell ref="A1:I1"/>
    <mergeCell ref="A36:H36"/>
  </mergeCells>
  <phoneticPr fontId="2" type="noConversion"/>
  <pageMargins left="0.55118110236220474" right="0.39370078740157483" top="0.9055118110236221" bottom="1.299212598425197" header="0.51181102362204722" footer="0.94488188976377963"/>
  <pageSetup paperSize="9" orientation="portrait" blackAndWhite="1" r:id="rId1"/>
  <headerFooter alignWithMargins="0">
    <oddFooter>&amp;L&amp;"HY견고딕,보통"[2020년 기준 세법 적용]&amp;C&amp;"HY견고딕,보통"www.eduyezi.com&amp;R&amp;"HY견고딕,보통"  [공인회계사 정성진교수 제공]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주식평가</vt:lpstr>
      <vt:lpstr>주식평가!Print_Area</vt:lpstr>
    </vt:vector>
  </TitlesOfParts>
  <Company>firstbank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kfb</dc:creator>
  <cp:lastModifiedBy>X</cp:lastModifiedBy>
  <cp:lastPrinted>2020-03-03T04:01:06Z</cp:lastPrinted>
  <dcterms:created xsi:type="dcterms:W3CDTF">2005-10-04T11:09:05Z</dcterms:created>
  <dcterms:modified xsi:type="dcterms:W3CDTF">2021-07-30T22:54:31Z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C:\Users\USER\AppData\Local\Microsoft\Windows\INetCache\IE\0ZW1I3M8\비상장주식평가2021기준.xls</vt:lpwstr>
  </property>
</Properties>
</file>